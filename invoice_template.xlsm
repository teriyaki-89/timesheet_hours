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636" yWindow="600" windowWidth="23256" windowHeight="11952"/>
  </bookViews>
  <sheets>
    <sheet name="Sheet1" sheetId="1" r:id="rId1"/>
    <sheet name="Sheet2" sheetId="2" r:id="rId2"/>
    <sheet name="Sheet3" sheetId="3" r:id="rId3"/>
  </sheets>
  <functionGroups builtInGroupCount="17"/>
  <definedNames>
    <definedName name="day">Sheet1!$P$29</definedName>
    <definedName name="finish_time">Sheet1!$P$26</definedName>
    <definedName name="night">Sheet1!$P$28</definedName>
    <definedName name="norm_hours">Sheet1!$P$27</definedName>
    <definedName name="start_time">Sheet1!$P$25</definedName>
  </definedNames>
  <calcPr calcId="144525"/>
</workbook>
</file>

<file path=xl/calcChain.xml><?xml version="1.0" encoding="utf-8"?>
<calcChain xmlns="http://schemas.openxmlformats.org/spreadsheetml/2006/main">
  <c r="I7" i="1" l="1"/>
  <c r="I11" i="1"/>
  <c r="G10" i="1"/>
  <c r="E10" i="1"/>
  <c r="O10" i="1"/>
  <c r="O11" i="1"/>
  <c r="K11" i="1"/>
  <c r="K9" i="1"/>
  <c r="K6" i="1"/>
  <c r="I12" i="1"/>
  <c r="I8" i="1"/>
  <c r="G7" i="1"/>
  <c r="E7" i="1"/>
  <c r="O7" i="1"/>
  <c r="O8" i="1"/>
  <c r="I6" i="1"/>
  <c r="K10" i="1"/>
  <c r="G12" i="1"/>
  <c r="E12" i="1"/>
  <c r="I9" i="1"/>
  <c r="G8" i="1"/>
  <c r="G11" i="1"/>
  <c r="E11" i="1"/>
  <c r="K7" i="1"/>
  <c r="O9" i="1"/>
  <c r="K8" i="1"/>
  <c r="O12" i="1"/>
  <c r="I10" i="1"/>
  <c r="G9" i="1"/>
  <c r="E9" i="1"/>
  <c r="E8" i="1"/>
  <c r="O6" i="1"/>
  <c r="E6" i="1"/>
  <c r="G6" i="1"/>
  <c r="K12" i="1"/>
  <c r="H6" i="1" l="1"/>
  <c r="F6" i="1"/>
  <c r="F8" i="1"/>
  <c r="F9" i="1"/>
  <c r="H9" i="1"/>
  <c r="J10" i="1"/>
  <c r="F11" i="1"/>
  <c r="N11" i="1" s="1"/>
  <c r="H11" i="1"/>
  <c r="H8" i="1"/>
  <c r="J9" i="1"/>
  <c r="F12" i="1"/>
  <c r="H12" i="1"/>
  <c r="J6" i="1"/>
  <c r="F7" i="1"/>
  <c r="H7" i="1"/>
  <c r="J8" i="1"/>
  <c r="J12" i="1"/>
  <c r="F10" i="1"/>
  <c r="N10" i="1" s="1"/>
  <c r="H10" i="1"/>
  <c r="J11" i="1"/>
  <c r="J7" i="1"/>
  <c r="N6" i="1" l="1"/>
  <c r="N9" i="1"/>
  <c r="N8" i="1"/>
  <c r="N7" i="1"/>
  <c r="N12" i="1"/>
  <c r="H20" i="1" l="1"/>
</calcChain>
</file>

<file path=xl/sharedStrings.xml><?xml version="1.0" encoding="utf-8"?>
<sst xmlns="http://schemas.openxmlformats.org/spreadsheetml/2006/main" count="38" uniqueCount="32">
  <si>
    <t>Day</t>
  </si>
  <si>
    <t>Night</t>
  </si>
  <si>
    <t>Overtime</t>
  </si>
  <si>
    <t>Date</t>
  </si>
  <si>
    <t>Start</t>
  </si>
  <si>
    <t>Finish</t>
  </si>
  <si>
    <t>Day amount</t>
  </si>
  <si>
    <t>Night amount</t>
  </si>
  <si>
    <t>Overtime Amount</t>
  </si>
  <si>
    <t>Location</t>
  </si>
  <si>
    <t>travel</t>
  </si>
  <si>
    <t>Bank: Commonwealth</t>
  </si>
  <si>
    <t>Branch: Surry Hills</t>
  </si>
  <si>
    <t>Final amount</t>
  </si>
  <si>
    <t>Total Hours</t>
  </si>
  <si>
    <t>Day hours</t>
  </si>
  <si>
    <t>Night hours</t>
  </si>
  <si>
    <t>Overtime hours</t>
  </si>
  <si>
    <t>Burwood</t>
  </si>
  <si>
    <t>Total per Shift</t>
  </si>
  <si>
    <t xml:space="preserve">date 21.07.17 </t>
  </si>
  <si>
    <t xml:space="preserve">ABN: </t>
  </si>
  <si>
    <t xml:space="preserve">Bsb: </t>
  </si>
  <si>
    <t xml:space="preserve">Ac/N: </t>
  </si>
  <si>
    <t>Tax Invoice #1</t>
  </si>
  <si>
    <t xml:space="preserve">from </t>
  </si>
  <si>
    <t>day time: mon-fri 4am-4pm</t>
  </si>
  <si>
    <t>night time: mon-fri 4pm- 4am</t>
  </si>
  <si>
    <t>overtime: over 8 hours and</t>
  </si>
  <si>
    <t xml:space="preserve">overtime: Saturday from 6 am and </t>
  </si>
  <si>
    <t>overtime: till Monday 7am</t>
  </si>
  <si>
    <t>To Some PTY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</si>
</sst>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[$-409]h:mm\ AM/PM;@"/>
  </numFmts>
  <fonts count="12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1"/>
      <color rgb="FF006100"/>
      <name val="Calibri"/>
    </font>
    <font>
      <sz val="11"/>
      <color rgb="FFFA7D00"/>
      <name val="Calibri"/>
    </font>
    <font>
      <sz val="11"/>
      <name val="Calibri"/>
    </font>
    <font>
      <b/>
      <sz val="11"/>
      <color rgb="FFFA7D00"/>
      <name val="Calibri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9BBB59"/>
        <bgColor rgb="FF9BBB59"/>
      </patternFill>
    </fill>
    <fill>
      <patternFill patternType="solid">
        <fgColor rgb="FF938953"/>
        <bgColor rgb="FF938953"/>
      </patternFill>
    </fill>
    <fill>
      <patternFill patternType="solid">
        <fgColor rgb="FFE36C09"/>
        <bgColor rgb="FFE36C09"/>
      </patternFill>
    </fill>
    <fill>
      <patternFill patternType="solid">
        <fgColor rgb="FFFFEB9C"/>
        <bgColor rgb="FFFFEB9C"/>
      </patternFill>
    </fill>
    <fill>
      <patternFill patternType="solid">
        <fgColor rgb="FF76923C"/>
        <bgColor rgb="FF76923C"/>
      </patternFill>
    </fill>
    <fill>
      <patternFill patternType="solid">
        <fgColor rgb="FFFDE9D9"/>
        <bgColor rgb="FFFDE9D9"/>
      </patternFill>
    </fill>
    <fill>
      <patternFill patternType="solid">
        <fgColor rgb="FFF2F2F2"/>
        <bgColor rgb="FFF2F2F2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rgb="FF938953"/>
      </patternFill>
    </fill>
    <fill>
      <patternFill patternType="solid">
        <fgColor theme="9" tint="-0.249977111117893"/>
        <bgColor rgb="FF938953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" fillId="15" borderId="0" applyNumberFormat="0" applyBorder="0" applyAlignment="0" applyProtection="0"/>
    <xf numFmtId="0" fontId="11" fillId="17" borderId="3" applyNumberFormat="0" applyAlignment="0" applyProtection="0"/>
  </cellStyleXfs>
  <cellXfs count="38">
    <xf numFmtId="0" fontId="0" fillId="0" borderId="0" xfId="0" applyFont="1" applyAlignment="1"/>
    <xf numFmtId="0" fontId="2" fillId="2" borderId="1" xfId="0" applyFont="1" applyFill="1" applyBorder="1"/>
    <xf numFmtId="0" fontId="3" fillId="3" borderId="0" xfId="0" applyFont="1" applyFill="1" applyBorder="1"/>
    <xf numFmtId="0" fontId="0" fillId="4" borderId="0" xfId="0" applyFont="1" applyFill="1" applyBorder="1"/>
    <xf numFmtId="0" fontId="0" fillId="5" borderId="0" xfId="0" applyFont="1" applyFill="1" applyBorder="1"/>
    <xf numFmtId="0" fontId="4" fillId="6" borderId="2" xfId="0" applyFont="1" applyFill="1" applyBorder="1"/>
    <xf numFmtId="0" fontId="0" fillId="7" borderId="0" xfId="0" applyFont="1" applyFill="1" applyBorder="1"/>
    <xf numFmtId="0" fontId="0" fillId="8" borderId="0" xfId="0" applyFont="1" applyFill="1" applyBorder="1"/>
    <xf numFmtId="0" fontId="0" fillId="0" borderId="0" xfId="0" applyFont="1"/>
    <xf numFmtId="0" fontId="5" fillId="0" borderId="0" xfId="0" applyFont="1"/>
    <xf numFmtId="0" fontId="6" fillId="9" borderId="3" xfId="0" applyFont="1" applyFill="1" applyBorder="1"/>
    <xf numFmtId="0" fontId="0" fillId="10" borderId="0" xfId="0" applyFont="1" applyFill="1" applyAlignment="1"/>
    <xf numFmtId="0" fontId="0" fillId="11" borderId="0" xfId="0" applyFont="1" applyFill="1" applyBorder="1"/>
    <xf numFmtId="0" fontId="0" fillId="12" borderId="0" xfId="0" applyFont="1" applyFill="1" applyBorder="1"/>
    <xf numFmtId="2" fontId="7" fillId="0" borderId="0" xfId="0" applyNumberFormat="1" applyFont="1" applyAlignment="1">
      <alignment wrapText="1"/>
    </xf>
    <xf numFmtId="164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Font="1" applyAlignment="1"/>
    <xf numFmtId="18" fontId="7" fillId="0" borderId="0" xfId="0" applyNumberFormat="1" applyFont="1" applyAlignment="1"/>
    <xf numFmtId="165" fontId="0" fillId="0" borderId="0" xfId="0" applyNumberFormat="1" applyFont="1"/>
    <xf numFmtId="165" fontId="0" fillId="0" borderId="0" xfId="0" applyNumberFormat="1" applyFont="1" applyAlignment="1"/>
    <xf numFmtId="165" fontId="7" fillId="0" borderId="0" xfId="0" applyNumberFormat="1" applyFont="1"/>
    <xf numFmtId="1" fontId="0" fillId="0" borderId="0" xfId="0" applyNumberFormat="1" applyFont="1" applyAlignment="1"/>
    <xf numFmtId="18" fontId="0" fillId="0" borderId="0" xfId="0" applyNumberFormat="1" applyFont="1" applyAlignment="1"/>
    <xf numFmtId="165" fontId="7" fillId="0" borderId="0" xfId="0" applyNumberFormat="1" applyFont="1" applyAlignment="1"/>
    <xf numFmtId="0" fontId="10" fillId="14" borderId="0" xfId="2" applyAlignment="1"/>
    <xf numFmtId="0" fontId="9" fillId="13" borderId="0" xfId="1" applyAlignment="1"/>
    <xf numFmtId="0" fontId="9" fillId="13" borderId="0" xfId="1"/>
    <xf numFmtId="0" fontId="1" fillId="15" borderId="0" xfId="3"/>
    <xf numFmtId="0" fontId="1" fillId="15" borderId="0" xfId="3" applyAlignment="1"/>
    <xf numFmtId="14" fontId="8" fillId="0" borderId="0" xfId="0" applyNumberFormat="1" applyFont="1" applyAlignment="1"/>
    <xf numFmtId="14" fontId="5" fillId="0" borderId="0" xfId="0" applyNumberFormat="1" applyFont="1"/>
    <xf numFmtId="0" fontId="0" fillId="7" borderId="0" xfId="0" applyNumberFormat="1" applyFont="1" applyFill="1" applyBorder="1"/>
    <xf numFmtId="0" fontId="0" fillId="16" borderId="0" xfId="0" applyFont="1" applyFill="1" applyAlignment="1"/>
    <xf numFmtId="0" fontId="0" fillId="0" borderId="0" xfId="0" applyFont="1" applyAlignment="1">
      <alignment horizontal="center"/>
    </xf>
    <xf numFmtId="14" fontId="0" fillId="0" borderId="0" xfId="0" applyNumberFormat="1" applyFont="1" applyAlignment="1"/>
    <xf numFmtId="0" fontId="11" fillId="17" borderId="3" xfId="4" applyAlignment="1"/>
    <xf numFmtId="0" fontId="0" fillId="0" borderId="0" xfId="0"/>
  </cellXfs>
  <cellStyles count="5">
    <cellStyle name="20% - Accent5" xfId="3" builtinId="46"/>
    <cellStyle name="Calculation" xfId="4" builtinId="22"/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5"/>
  <sheetViews>
    <sheetView tabSelected="1" workbookViewId="0">
      <selection activeCell="H28" sqref="H28"/>
    </sheetView>
  </sheetViews>
  <sheetFormatPr defaultColWidth="17.33203125" defaultRowHeight="15" customHeight="1"/>
  <cols>
    <col min="1" max="1" width="32" bestFit="1" customWidth="1"/>
    <col min="2" max="2" width="15.88671875" customWidth="1"/>
    <col min="3" max="3" width="13.109375" customWidth="1"/>
    <col min="4" max="4" width="11.5546875" bestFit="1" customWidth="1"/>
    <col min="5" max="5" width="9.6640625" bestFit="1" customWidth="1"/>
    <col min="6" max="6" width="15.33203125" customWidth="1"/>
    <col min="7" max="7" width="13.44140625" customWidth="1"/>
    <col min="8" max="8" width="13.33203125" bestFit="1" customWidth="1"/>
    <col min="9" max="9" width="15" bestFit="1" customWidth="1"/>
    <col min="10" max="10" width="17.33203125" bestFit="1" customWidth="1"/>
    <col min="14" max="14" width="28.33203125" bestFit="1" customWidth="1"/>
    <col min="15" max="15" width="21.109375" customWidth="1"/>
    <col min="16" max="16" width="26.6640625" customWidth="1"/>
  </cols>
  <sheetData>
    <row r="1" spans="1:15" ht="16.5" customHeight="1">
      <c r="A1" s="1" t="s">
        <v>24</v>
      </c>
      <c r="C1" s="2" t="s">
        <v>0</v>
      </c>
      <c r="D1" s="22">
        <v>12</v>
      </c>
    </row>
    <row r="2" spans="1:15" ht="16.5" customHeight="1">
      <c r="A2" s="1" t="s">
        <v>20</v>
      </c>
      <c r="C2" s="3" t="s">
        <v>1</v>
      </c>
      <c r="D2" s="22">
        <v>25</v>
      </c>
    </row>
    <row r="3" spans="1:15" ht="16.5" customHeight="1">
      <c r="A3" s="1" t="s">
        <v>25</v>
      </c>
      <c r="C3" s="4" t="s">
        <v>2</v>
      </c>
      <c r="D3" s="22">
        <v>28</v>
      </c>
    </row>
    <row r="4" spans="1:15" ht="16.5" customHeight="1">
      <c r="A4" s="1" t="s">
        <v>21</v>
      </c>
    </row>
    <row r="5" spans="1:15" ht="16.5" customHeight="1">
      <c r="A5" s="5" t="s">
        <v>31</v>
      </c>
      <c r="B5" t="s">
        <v>3</v>
      </c>
      <c r="C5" t="s">
        <v>4</v>
      </c>
      <c r="D5" t="s">
        <v>5</v>
      </c>
      <c r="E5" s="6" t="s">
        <v>15</v>
      </c>
      <c r="F5" s="6" t="s">
        <v>6</v>
      </c>
      <c r="G5" s="3" t="s">
        <v>16</v>
      </c>
      <c r="H5" s="3" t="s">
        <v>7</v>
      </c>
      <c r="I5" s="4" t="s">
        <v>17</v>
      </c>
      <c r="J5" s="4" t="s">
        <v>8</v>
      </c>
      <c r="K5" s="25" t="s">
        <v>14</v>
      </c>
      <c r="L5" s="26" t="s">
        <v>9</v>
      </c>
      <c r="M5" s="7" t="s">
        <v>10</v>
      </c>
      <c r="N5" s="28" t="s">
        <v>19</v>
      </c>
      <c r="O5" s="33"/>
    </row>
    <row r="6" spans="1:15" ht="15.75" customHeight="1">
      <c r="A6" s="9" t="s">
        <v>11</v>
      </c>
      <c r="B6" s="31">
        <v>42950</v>
      </c>
      <c r="C6" s="19">
        <v>0.5</v>
      </c>
      <c r="D6" s="19">
        <v>0.77083333333333337</v>
      </c>
      <c r="E6" s="32">
        <f>INDEX(hours(C6,D6,B6),1)</f>
        <v>4</v>
      </c>
      <c r="F6" s="6">
        <f>$D$1*E6</f>
        <v>48</v>
      </c>
      <c r="G6" s="11">
        <f>INDEX(hours(C6,D6,B6),2)</f>
        <v>2.5</v>
      </c>
      <c r="H6" s="12">
        <f>$D$2*$G6</f>
        <v>62.5</v>
      </c>
      <c r="I6" s="13">
        <f>INDEX(hours(C6,D6,B6),3)</f>
        <v>0</v>
      </c>
      <c r="J6" s="4">
        <f>$D$3*$I6</f>
        <v>0</v>
      </c>
      <c r="K6" s="25">
        <f>INDEX(hours(C6,D6,B6),4)</f>
        <v>6.5</v>
      </c>
      <c r="L6" s="27" t="s">
        <v>18</v>
      </c>
      <c r="M6" s="7">
        <v>0</v>
      </c>
      <c r="N6" s="29">
        <f>SUM(F6,H6,J6,M6)</f>
        <v>110.5</v>
      </c>
      <c r="O6" s="34" t="str">
        <f>INDEX(hours(C6,D6,B6),5)</f>
        <v>Thursday</v>
      </c>
    </row>
    <row r="7" spans="1:15" ht="14.4">
      <c r="A7" s="9" t="s">
        <v>12</v>
      </c>
      <c r="B7" s="31">
        <v>42951</v>
      </c>
      <c r="C7" s="19">
        <v>0.13541666666666666</v>
      </c>
      <c r="D7" s="19">
        <v>0.625</v>
      </c>
      <c r="E7" s="32">
        <f>INDEX(hours(C7,D7,B7),1)</f>
        <v>7.25</v>
      </c>
      <c r="F7" s="6">
        <f t="shared" ref="F7:F14" si="0">$D$1*E7</f>
        <v>87</v>
      </c>
      <c r="G7" s="11">
        <f>INDEX(hours(C7,D7,B7),2)</f>
        <v>0.75</v>
      </c>
      <c r="H7" s="12">
        <f t="shared" ref="H7:H13" si="1">$D$2*$G7</f>
        <v>18.75</v>
      </c>
      <c r="I7" s="13">
        <f>INDEX(hours(C7,D7,B7),3)</f>
        <v>3.75</v>
      </c>
      <c r="J7" s="4">
        <f t="shared" ref="J7:J14" si="2">$D$3*$I7</f>
        <v>105</v>
      </c>
      <c r="K7" s="25">
        <f>INDEX(hours(C7,D7,B7),4)</f>
        <v>11.75</v>
      </c>
      <c r="L7" s="27" t="s">
        <v>18</v>
      </c>
      <c r="M7" s="7">
        <v>0</v>
      </c>
      <c r="N7" s="29">
        <f t="shared" ref="N7:N14" si="3">SUM(F7,H7,J7,M7)</f>
        <v>210.75</v>
      </c>
      <c r="O7" s="34" t="str">
        <f>INDEX(hours(C7,D7,B7),5)</f>
        <v>Friday</v>
      </c>
    </row>
    <row r="8" spans="1:15" ht="14.4">
      <c r="A8" s="9" t="s">
        <v>22</v>
      </c>
      <c r="B8" s="31">
        <v>42952</v>
      </c>
      <c r="C8" s="19">
        <v>0.16666666666666666</v>
      </c>
      <c r="D8" s="19">
        <v>0.83333333333333337</v>
      </c>
      <c r="E8" s="32">
        <f>INDEX(hours(C8,D8,B8),1)</f>
        <v>2</v>
      </c>
      <c r="F8" s="6">
        <f t="shared" si="0"/>
        <v>24</v>
      </c>
      <c r="G8" s="11">
        <f>INDEX(hours(C8,D8,B8),2)</f>
        <v>0</v>
      </c>
      <c r="H8" s="12">
        <f t="shared" si="1"/>
        <v>0</v>
      </c>
      <c r="I8" s="13">
        <f>INDEX(hours(C8,D8,B8),3)</f>
        <v>14</v>
      </c>
      <c r="J8" s="4">
        <f t="shared" si="2"/>
        <v>392</v>
      </c>
      <c r="K8" s="25">
        <f>INDEX(hours(C8,D8,B8),4)</f>
        <v>16</v>
      </c>
      <c r="L8" s="27" t="s">
        <v>18</v>
      </c>
      <c r="M8" s="7">
        <v>0</v>
      </c>
      <c r="N8" s="29">
        <f t="shared" si="3"/>
        <v>416</v>
      </c>
      <c r="O8" s="34" t="str">
        <f>INDEX(hours(C8,D8,B8),5)</f>
        <v>Saturday</v>
      </c>
    </row>
    <row r="9" spans="1:15" ht="14.4">
      <c r="A9" s="9" t="s">
        <v>23</v>
      </c>
      <c r="B9" s="31">
        <v>42953</v>
      </c>
      <c r="C9" s="19">
        <v>0.58333333333333337</v>
      </c>
      <c r="D9" s="19">
        <v>0</v>
      </c>
      <c r="E9" s="32">
        <f>INDEX(hours(C9,D9,B9),1)</f>
        <v>0</v>
      </c>
      <c r="F9" s="6">
        <f t="shared" si="0"/>
        <v>0</v>
      </c>
      <c r="G9" s="11">
        <f>INDEX(hours(C9,D9,B9),2)</f>
        <v>0</v>
      </c>
      <c r="H9" s="12">
        <f t="shared" si="1"/>
        <v>0</v>
      </c>
      <c r="I9" s="13">
        <f>INDEX(hours(C9,D9,B9),3)</f>
        <v>10</v>
      </c>
      <c r="J9" s="4">
        <f t="shared" si="2"/>
        <v>280</v>
      </c>
      <c r="K9" s="25">
        <f>INDEX(hours(C9,D9,B9),4)</f>
        <v>10</v>
      </c>
      <c r="L9" s="27" t="s">
        <v>18</v>
      </c>
      <c r="M9" s="7">
        <v>0</v>
      </c>
      <c r="N9" s="29">
        <f t="shared" si="3"/>
        <v>280</v>
      </c>
      <c r="O9" s="34" t="str">
        <f>INDEX(hours(C9,D9,B9),5)</f>
        <v>Sunday</v>
      </c>
    </row>
    <row r="10" spans="1:15" ht="14.4">
      <c r="B10" s="30">
        <v>42954</v>
      </c>
      <c r="C10" s="19">
        <v>0.54166666666666663</v>
      </c>
      <c r="D10" s="21">
        <v>0.70833333333333337</v>
      </c>
      <c r="E10" s="32">
        <f>INDEX(hours(C10,D10,B10),1)</f>
        <v>3</v>
      </c>
      <c r="F10" s="6">
        <f t="shared" si="0"/>
        <v>36</v>
      </c>
      <c r="G10" s="11">
        <f>INDEX(hours(C10,D10,B10),2)</f>
        <v>1</v>
      </c>
      <c r="H10" s="12">
        <f t="shared" si="1"/>
        <v>25</v>
      </c>
      <c r="I10" s="13">
        <f>INDEX(hours(C10,D10,B10),3)</f>
        <v>0</v>
      </c>
      <c r="J10" s="4">
        <f t="shared" si="2"/>
        <v>0</v>
      </c>
      <c r="K10" s="25">
        <f>INDEX(hours(C10,D10,B10),4)</f>
        <v>4</v>
      </c>
      <c r="L10" s="27" t="s">
        <v>18</v>
      </c>
      <c r="M10" s="7">
        <v>0</v>
      </c>
      <c r="N10" s="29">
        <f t="shared" si="3"/>
        <v>61</v>
      </c>
      <c r="O10" s="34" t="str">
        <f>INDEX(hours(C10,D10,B10),5)</f>
        <v>Monday</v>
      </c>
    </row>
    <row r="11" spans="1:15" ht="15" customHeight="1">
      <c r="B11" s="35">
        <v>42955</v>
      </c>
      <c r="C11" s="20">
        <v>0.19791666666666666</v>
      </c>
      <c r="D11" s="20">
        <v>0.83333333333333337</v>
      </c>
      <c r="E11" s="32">
        <f>INDEX(hours(C11,D11,B11),1)</f>
        <v>8</v>
      </c>
      <c r="F11" s="6">
        <f t="shared" si="0"/>
        <v>96</v>
      </c>
      <c r="G11" s="11">
        <f>INDEX(hours(C11,D11,B11),2)</f>
        <v>0</v>
      </c>
      <c r="H11" s="12">
        <f t="shared" si="1"/>
        <v>0</v>
      </c>
      <c r="I11" s="13">
        <f>INDEX(hours(C11,D11,B11),3)</f>
        <v>7.25</v>
      </c>
      <c r="J11" s="4">
        <f t="shared" si="2"/>
        <v>203</v>
      </c>
      <c r="K11" s="25">
        <f>INDEX(hours(C11,D11,B11),4)</f>
        <v>15.25</v>
      </c>
      <c r="L11" s="27" t="s">
        <v>18</v>
      </c>
      <c r="M11" s="7">
        <v>0</v>
      </c>
      <c r="N11" s="29">
        <f t="shared" si="3"/>
        <v>299</v>
      </c>
      <c r="O11" s="34" t="str">
        <f>INDEX(hours(C11,D11,B11),5)</f>
        <v>Tuesday</v>
      </c>
    </row>
    <row r="12" spans="1:15" ht="15" customHeight="1">
      <c r="B12" s="30">
        <v>42968</v>
      </c>
      <c r="C12" s="24">
        <v>9.375E-2</v>
      </c>
      <c r="D12" s="24">
        <v>0.35416666666666669</v>
      </c>
      <c r="E12" s="32">
        <f>INDEX(hours(C12,D12,B12),1)</f>
        <v>1.5</v>
      </c>
      <c r="F12" s="6">
        <f t="shared" si="0"/>
        <v>18</v>
      </c>
      <c r="G12" s="11">
        <f>INDEX(hours(C12,D12,B12),2)</f>
        <v>0</v>
      </c>
      <c r="H12" s="12">
        <f t="shared" si="1"/>
        <v>0</v>
      </c>
      <c r="I12" s="13">
        <f>INDEX(hours(C12,D12,B12),3)</f>
        <v>4.75</v>
      </c>
      <c r="J12" s="4">
        <f t="shared" si="2"/>
        <v>133</v>
      </c>
      <c r="K12" s="25">
        <f>INDEX(hours(C12,D12,B12),4)</f>
        <v>6.25</v>
      </c>
      <c r="L12" s="27" t="s">
        <v>18</v>
      </c>
      <c r="M12" s="7">
        <v>0</v>
      </c>
      <c r="N12" s="29">
        <f t="shared" si="3"/>
        <v>151</v>
      </c>
      <c r="O12" s="34" t="str">
        <f>INDEX(hours(C12,D12,B12),5)</f>
        <v>Monday</v>
      </c>
    </row>
    <row r="13" spans="1:15" ht="15" customHeight="1"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</row>
    <row r="14" spans="1:15" ht="14.4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</row>
    <row r="15" spans="1:15" ht="15" customHeight="1">
      <c r="D15" s="23"/>
    </row>
    <row r="18" spans="1:16" ht="15" customHeight="1">
      <c r="E18" s="8"/>
    </row>
    <row r="20" spans="1:16" ht="14.4">
      <c r="G20" s="10" t="s">
        <v>13</v>
      </c>
      <c r="H20" s="10">
        <f>SUM(N6:N14)</f>
        <v>1528.25</v>
      </c>
    </row>
    <row r="22" spans="1:16" ht="15" customHeight="1">
      <c r="A22" s="36" t="s">
        <v>26</v>
      </c>
    </row>
    <row r="23" spans="1:16" ht="15" customHeight="1">
      <c r="A23" s="36" t="s">
        <v>27</v>
      </c>
    </row>
    <row r="24" spans="1:16" ht="15" customHeight="1">
      <c r="A24" s="36" t="s">
        <v>28</v>
      </c>
      <c r="E24" s="14"/>
    </row>
    <row r="25" spans="1:16" ht="15" customHeight="1">
      <c r="A25" s="36" t="s">
        <v>29</v>
      </c>
      <c r="E25" s="16"/>
      <c r="O25" s="17"/>
      <c r="P25" s="18"/>
    </row>
    <row r="26" spans="1:16" ht="15" customHeight="1">
      <c r="A26" s="36" t="s">
        <v>30</v>
      </c>
      <c r="E26" s="15"/>
      <c r="O26" s="17"/>
      <c r="P26" s="18"/>
    </row>
    <row r="27" spans="1:16" ht="15" customHeight="1">
      <c r="E27" s="15"/>
      <c r="N27" s="17"/>
      <c r="O27" s="17"/>
      <c r="P27" s="17"/>
    </row>
    <row r="28" spans="1:16" ht="15" customHeight="1">
      <c r="N28" s="17"/>
      <c r="O28" s="17"/>
      <c r="P28" s="17"/>
    </row>
    <row r="29" spans="1:16" ht="15" customHeight="1">
      <c r="N29" s="17"/>
      <c r="O29" s="17"/>
      <c r="P29" s="17"/>
    </row>
    <row r="35" spans="12:12" ht="15" customHeight="1">
      <c r="L35" s="17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7.33203125" defaultRowHeight="15" customHeight="1"/>
  <cols>
    <col min="1" max="6" width="8.66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7.33203125" defaultRowHeight="15" customHeight="1"/>
  <cols>
    <col min="1" max="6" width="8.66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day</vt:lpstr>
      <vt:lpstr>finish_time</vt:lpstr>
      <vt:lpstr>night</vt:lpstr>
      <vt:lpstr>norm_hours</vt:lpstr>
      <vt:lpstr>start_time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ilik</dc:creator>
  <cp:lastModifiedBy>Ilyas</cp:lastModifiedBy>
  <dcterms:created xsi:type="dcterms:W3CDTF">2006-09-16T00:00:00Z</dcterms:created>
  <dcterms:modified xsi:type="dcterms:W3CDTF">2018-10-27T10:42:47Z</dcterms:modified>
</cp:coreProperties>
</file>